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Year 1 has no fees carried in from a prior year.</t>
        </r>
      </text>
    </comment>
    <comment ref="B13" authorId="0">
      <text>
        <r>
          <rPr>
            <sz val="10"/>
            <rFont val="Arial"/>
            <family val="2"/>
          </rPr>
          <t xml:space="preserve">Year 1 starts from zero units.</t>
        </r>
      </text>
    </comment>
  </commentList>
</comments>
</file>

<file path=xl/sharedStrings.xml><?xml version="1.0" encoding="utf-8"?>
<sst xmlns="http://schemas.openxmlformats.org/spreadsheetml/2006/main" count="111" uniqueCount="101">
  <si>
    <t xml:space="preserve">Municipal Bill Auditor: pricing model assumptions</t>
  </si>
  <si>
    <t xml:space="preserve">How to use: change only the blue numbers on yellow cells. Everything on the Model tab recalculates. Every starting value is an illustrative guess, not researched data; replace them as you learn from real customers.</t>
  </si>
  <si>
    <t xml:space="preserve">Assumption</t>
  </si>
  <si>
    <t xml:space="preserve">Year 1</t>
  </si>
  <si>
    <t xml:space="preserve">Year 2</t>
  </si>
  <si>
    <t xml:space="preserve">Year 3</t>
  </si>
  <si>
    <t xml:space="preserve">Unit</t>
  </si>
  <si>
    <t xml:space="preserve">Why this starting value</t>
  </si>
  <si>
    <t xml:space="preserve">1. Success fees: businesses and body corporates</t>
  </si>
  <si>
    <t xml:space="preserve">New clients signed in the year</t>
  </si>
  <si>
    <t xml:space="preserve">clients</t>
  </si>
  <si>
    <t xml:space="preserve">Guess: a founder-led sales pace, growing as case studies build up.</t>
  </si>
  <si>
    <t xml:space="preserve">Average municipal bill per client</t>
  </si>
  <si>
    <t xml:space="preserve">R / month</t>
  </si>
  <si>
    <t xml:space="preserve">Illustrative mid-sized complex or business. Check against the first 10 prospects.</t>
  </si>
  <si>
    <t xml:space="preserve">Clients where a recoverable error is found</t>
  </si>
  <si>
    <t xml:space="preserve">% of clients</t>
  </si>
  <si>
    <t xml:space="preserve">Guess. This is the number most worth testing early with real bills.</t>
  </si>
  <si>
    <t xml:space="preserve">Back-refund won, as % of one year's bill</t>
  </si>
  <si>
    <t xml:space="preserve">% of annual bill</t>
  </si>
  <si>
    <t xml:space="preserve">Guess based on typical estimated-reading and tariff errors.</t>
  </si>
  <si>
    <t xml:space="preserve">Clients with an ongoing fix (e.g. wrong tariff)</t>
  </si>
  <si>
    <t xml:space="preserve">Share of clients where the error would have kept repeating, like the Tshwane tariff case.</t>
  </si>
  <si>
    <t xml:space="preserve">Future saving from the ongoing fix</t>
  </si>
  <si>
    <t xml:space="preserve">Guess: the monthly overcharge that stops after the fix.</t>
  </si>
  <si>
    <t xml:space="preserve">Success fee</t>
  </si>
  <si>
    <t xml:space="preserve">% of amount won</t>
  </si>
  <si>
    <t xml:space="preserve">Typical contingency range for utility-audit work is about 20% to 35%.</t>
  </si>
  <si>
    <t xml:space="preserve">Share of fees collected in the same year</t>
  </si>
  <si>
    <t xml:space="preserve">% of fees</t>
  </si>
  <si>
    <t xml:space="preserve">Refunds land as account credits after months; the rest is collected next year.</t>
  </si>
  <si>
    <t xml:space="preserve">Staff cost to run one business dispute</t>
  </si>
  <si>
    <t xml:space="preserve">R / dispute</t>
  </si>
  <si>
    <t xml:space="preserve">Guess: about a day of an analyst's time plus municipal follow-up.</t>
  </si>
  <si>
    <t xml:space="preserve">2. Subscriptions: landlords and managing agents</t>
  </si>
  <si>
    <t xml:space="preserve">Units under subscription at year end</t>
  </si>
  <si>
    <t xml:space="preserve">units</t>
  </si>
  <si>
    <t xml:space="preserve">Guess: 2 agents in Year 1, about 10 in Year 2, about 25 in Year 3, at around 250 to 300 units each.</t>
  </si>
  <si>
    <t xml:space="preserve">Subscription price per unit</t>
  </si>
  <si>
    <t xml:space="preserve">R / unit / month</t>
  </si>
  <si>
    <t xml:space="preserve">Middle of the R30 to R80 range suggested earlier.</t>
  </si>
  <si>
    <t xml:space="preserve">Disputes raised per unit per year</t>
  </si>
  <si>
    <t xml:space="preserve">disputes / unit</t>
  </si>
  <si>
    <t xml:space="preserve">Guess: one in ten units needs a dispute each year.</t>
  </si>
  <si>
    <t xml:space="preserve">Staff cost per subscriber dispute</t>
  </si>
  <si>
    <t xml:space="preserve">Smaller residential disputes, cheaper as templates and automation improve.</t>
  </si>
  <si>
    <t xml:space="preserve">3. Free tier: households</t>
  </si>
  <si>
    <t xml:space="preserve">Active free households (average in the year)</t>
  </si>
  <si>
    <t xml:space="preserve">households</t>
  </si>
  <si>
    <t xml:space="preserve">Guess. Organic growth through ratepayer groups and social media.</t>
  </si>
  <si>
    <t xml:space="preserve">Households that pay for a managed dispute</t>
  </si>
  <si>
    <t xml:space="preserve">% per year</t>
  </si>
  <si>
    <t xml:space="preserve">Guess: a small share hit by a large wrong bill.</t>
  </si>
  <si>
    <t xml:space="preserve">Managed dispute fee for a household</t>
  </si>
  <si>
    <t xml:space="preserve">Within the R199 to R499 range suggested earlier.</t>
  </si>
  <si>
    <t xml:space="preserve">Staff cost per household dispute</t>
  </si>
  <si>
    <t xml:space="preserve">Mostly automated letter and tracking, with light human review.</t>
  </si>
  <si>
    <t xml:space="preserve">4. Running costs</t>
  </si>
  <si>
    <t xml:space="preserve">Cost to read and check one bill (OCR, AI, storage)</t>
  </si>
  <si>
    <t xml:space="preserve">R / bill</t>
  </si>
  <si>
    <t xml:space="preserve">Guess. Measure this on your first prototype.</t>
  </si>
  <si>
    <t xml:space="preserve">Bills per account per year</t>
  </si>
  <si>
    <t xml:space="preserve">bills</t>
  </si>
  <si>
    <t xml:space="preserve">Monthly municipal bills.</t>
  </si>
  <si>
    <t xml:space="preserve">Fixed team and overhead</t>
  </si>
  <si>
    <t xml:space="preserve">R / year</t>
  </si>
  <si>
    <t xml:space="preserve">Guess: founders plus a part-time developer, then a small team. Includes POPIA compliance, legal, and hosting.</t>
  </si>
  <si>
    <t xml:space="preserve">POPIA, security and legal (inside fixed above)</t>
  </si>
  <si>
    <t xml:space="preserve">Shown for visibility only; already counted in the fixed cost line. Information officer, audits, legal templates.</t>
  </si>
  <si>
    <t xml:space="preserve">Municipal Bill Auditor: revenue and profit by year</t>
  </si>
  <si>
    <t xml:space="preserve">All figures in rand. Everything here is calculated from the Assumptions tab; don't type over it.</t>
  </si>
  <si>
    <t xml:space="preserve">Rand</t>
  </si>
  <si>
    <t xml:space="preserve">Success fees: businesses and body corporates</t>
  </si>
  <si>
    <t xml:space="preserve">Clients signed</t>
  </si>
  <si>
    <t xml:space="preserve">Clients with an error found</t>
  </si>
  <si>
    <t xml:space="preserve">Back-refunds won for clients</t>
  </si>
  <si>
    <t xml:space="preserve">Future savings won (first 12 months)</t>
  </si>
  <si>
    <t xml:space="preserve">Success fees earned</t>
  </si>
  <si>
    <t xml:space="preserve">Success fees collected (cash)</t>
  </si>
  <si>
    <t xml:space="preserve">Subscriptions: landlords and managing agents</t>
  </si>
  <si>
    <t xml:space="preserve">Average units subscribed in the year</t>
  </si>
  <si>
    <t xml:space="preserve">Subscription revenue</t>
  </si>
  <si>
    <t xml:space="preserve">Free tier: households</t>
  </si>
  <si>
    <t xml:space="preserve">Paid household disputes</t>
  </si>
  <si>
    <t xml:space="preserve">Household dispute revenue</t>
  </si>
  <si>
    <t xml:space="preserve">Totals</t>
  </si>
  <si>
    <t xml:space="preserve">Total revenue (cash)</t>
  </si>
  <si>
    <t xml:space="preserve">Bills processed</t>
  </si>
  <si>
    <t xml:space="preserve">Cost of reading bills</t>
  </si>
  <si>
    <t xml:space="preserve">Cost of running disputes</t>
  </si>
  <si>
    <t xml:space="preserve">Gross profit</t>
  </si>
  <si>
    <t xml:space="preserve">Gross margin</t>
  </si>
  <si>
    <t xml:space="preserve">Operating profit</t>
  </si>
  <si>
    <t xml:space="preserve">Cumulative profit (cash needed if negative)</t>
  </si>
  <si>
    <t xml:space="preserve">Revenue mix</t>
  </si>
  <si>
    <t xml:space="preserve">Success fees</t>
  </si>
  <si>
    <t xml:space="preserve">Subscriptions</t>
  </si>
  <si>
    <t xml:space="preserve">Households</t>
  </si>
  <si>
    <t xml:space="preserve">One example business client</t>
  </si>
  <si>
    <t xml:space="preserve">Back-refund if an error is found</t>
  </si>
  <si>
    <t xml:space="preserve">Your success fee on that refund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</si>
</sst>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9</v>
      </c>
      <c r="B6" s="6" t="n">
        <v>10</v>
      </c>
      <c r="C6" s="6" t="n">
        <v>30</v>
      </c>
      <c r="D6" s="6" t="n">
        <v>60</v>
      </c>
      <c r="E6" s="7" t="s">
        <v>10</v>
      </c>
      <c r="F6" s="8" t="s">
        <v>11</v>
      </c>
    </row>
    <row r="7" customFormat="false" ht="26.85" hidden="false" customHeight="false" outlineLevel="0" collapsed="false">
      <c r="A7" s="5" t="s">
        <v>12</v>
      </c>
      <c r="B7" s="9" t="n">
        <v>150000</v>
      </c>
      <c r="C7" s="9" t="n">
        <v>150000</v>
      </c>
      <c r="D7" s="9" t="n">
        <v>150000</v>
      </c>
      <c r="E7" s="7" t="s">
        <v>13</v>
      </c>
      <c r="F7" s="8" t="s">
        <v>14</v>
      </c>
    </row>
    <row r="8" customFormat="false" ht="15" hidden="false" customHeight="false" outlineLevel="0" collapsed="false">
      <c r="A8" s="5" t="s">
        <v>15</v>
      </c>
      <c r="B8" s="10" t="n">
        <v>0.4</v>
      </c>
      <c r="C8" s="10" t="n">
        <v>0.4</v>
      </c>
      <c r="D8" s="10" t="n">
        <v>0.4</v>
      </c>
      <c r="E8" s="7" t="s">
        <v>16</v>
      </c>
      <c r="F8" s="8" t="s">
        <v>17</v>
      </c>
    </row>
    <row r="9" customFormat="false" ht="15" hidden="false" customHeight="false" outlineLevel="0" collapsed="false">
      <c r="A9" s="5" t="s">
        <v>18</v>
      </c>
      <c r="B9" s="10" t="n">
        <v>0.05</v>
      </c>
      <c r="C9" s="10" t="n">
        <v>0.05</v>
      </c>
      <c r="D9" s="10" t="n">
        <v>0.05</v>
      </c>
      <c r="E9" s="7" t="s">
        <v>19</v>
      </c>
      <c r="F9" s="8" t="s">
        <v>20</v>
      </c>
    </row>
    <row r="10" customFormat="false" ht="26.85" hidden="false" customHeight="false" outlineLevel="0" collapsed="false">
      <c r="A10" s="5" t="s">
        <v>21</v>
      </c>
      <c r="B10" s="10" t="n">
        <v>0.2</v>
      </c>
      <c r="C10" s="10" t="n">
        <v>0.2</v>
      </c>
      <c r="D10" s="10" t="n">
        <v>0.2</v>
      </c>
      <c r="E10" s="7" t="s">
        <v>16</v>
      </c>
      <c r="F10" s="8" t="s">
        <v>22</v>
      </c>
    </row>
    <row r="11" customFormat="false" ht="15" hidden="false" customHeight="false" outlineLevel="0" collapsed="false">
      <c r="A11" s="5" t="s">
        <v>23</v>
      </c>
      <c r="B11" s="10" t="n">
        <v>0.05</v>
      </c>
      <c r="C11" s="10" t="n">
        <v>0.05</v>
      </c>
      <c r="D11" s="10" t="n">
        <v>0.05</v>
      </c>
      <c r="E11" s="7" t="s">
        <v>19</v>
      </c>
      <c r="F11" s="8" t="s">
        <v>24</v>
      </c>
    </row>
    <row r="12" customFormat="false" ht="15" hidden="false" customHeight="false" outlineLevel="0" collapsed="false">
      <c r="A12" s="5" t="s">
        <v>25</v>
      </c>
      <c r="B12" s="10" t="n">
        <v>0.25</v>
      </c>
      <c r="C12" s="10" t="n">
        <v>0.25</v>
      </c>
      <c r="D12" s="10" t="n">
        <v>0.25</v>
      </c>
      <c r="E12" s="7" t="s">
        <v>26</v>
      </c>
      <c r="F12" s="8" t="s">
        <v>27</v>
      </c>
    </row>
    <row r="13" customFormat="false" ht="26.85" hidden="false" customHeight="false" outlineLevel="0" collapsed="false">
      <c r="A13" s="5" t="s">
        <v>28</v>
      </c>
      <c r="B13" s="10" t="n">
        <v>0.6</v>
      </c>
      <c r="C13" s="10" t="n">
        <v>0.6</v>
      </c>
      <c r="D13" s="10" t="n">
        <v>0.6</v>
      </c>
      <c r="E13" s="7" t="s">
        <v>29</v>
      </c>
      <c r="F13" s="8" t="s">
        <v>30</v>
      </c>
    </row>
    <row r="14" customFormat="false" ht="15" hidden="false" customHeight="false" outlineLevel="0" collapsed="false">
      <c r="A14" s="5" t="s">
        <v>31</v>
      </c>
      <c r="B14" s="9" t="n">
        <v>3000</v>
      </c>
      <c r="C14" s="9" t="n">
        <v>3000</v>
      </c>
      <c r="D14" s="9" t="n">
        <v>3000</v>
      </c>
      <c r="E14" s="7" t="s">
        <v>32</v>
      </c>
      <c r="F14" s="8" t="s">
        <v>33</v>
      </c>
    </row>
    <row r="15" customFormat="false" ht="15" hidden="false" customHeight="false" outlineLevel="0" collapsed="false">
      <c r="A15" s="4" t="s">
        <v>34</v>
      </c>
      <c r="B15" s="4"/>
      <c r="C15" s="4"/>
      <c r="D15" s="4"/>
      <c r="E15" s="4"/>
      <c r="F15" s="4"/>
    </row>
    <row r="16" customFormat="false" ht="26.85" hidden="false" customHeight="false" outlineLevel="0" collapsed="false">
      <c r="A16" s="5" t="s">
        <v>35</v>
      </c>
      <c r="B16" s="6" t="n">
        <v>500</v>
      </c>
      <c r="C16" s="6" t="n">
        <v>2500</v>
      </c>
      <c r="D16" s="6" t="n">
        <v>7500</v>
      </c>
      <c r="E16" s="7" t="s">
        <v>36</v>
      </c>
      <c r="F16" s="8" t="s">
        <v>37</v>
      </c>
    </row>
    <row r="17" customFormat="false" ht="15" hidden="false" customHeight="false" outlineLevel="0" collapsed="false">
      <c r="A17" s="5" t="s">
        <v>38</v>
      </c>
      <c r="B17" s="9" t="n">
        <v>50</v>
      </c>
      <c r="C17" s="9" t="n">
        <v>50</v>
      </c>
      <c r="D17" s="9" t="n">
        <v>55</v>
      </c>
      <c r="E17" s="7" t="s">
        <v>39</v>
      </c>
      <c r="F17" s="8" t="s">
        <v>40</v>
      </c>
    </row>
    <row r="18" customFormat="false" ht="15" hidden="false" customHeight="false" outlineLevel="0" collapsed="false">
      <c r="A18" s="5" t="s">
        <v>41</v>
      </c>
      <c r="B18" s="6" t="n">
        <v>0.1</v>
      </c>
      <c r="C18" s="6" t="n">
        <v>0.1</v>
      </c>
      <c r="D18" s="6" t="n">
        <v>0.1</v>
      </c>
      <c r="E18" s="7" t="s">
        <v>42</v>
      </c>
      <c r="F18" s="8" t="s">
        <v>43</v>
      </c>
    </row>
    <row r="19" customFormat="false" ht="26.85" hidden="false" customHeight="false" outlineLevel="0" collapsed="false">
      <c r="A19" s="5" t="s">
        <v>44</v>
      </c>
      <c r="B19" s="9" t="n">
        <v>400</v>
      </c>
      <c r="C19" s="9" t="n">
        <v>350</v>
      </c>
      <c r="D19" s="9" t="n">
        <v>300</v>
      </c>
      <c r="E19" s="7" t="s">
        <v>32</v>
      </c>
      <c r="F19" s="8" t="s">
        <v>45</v>
      </c>
    </row>
    <row r="20" customFormat="false" ht="15" hidden="false" customHeight="false" outlineLevel="0" collapsed="false">
      <c r="A20" s="4" t="s">
        <v>46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5" t="s">
        <v>47</v>
      </c>
      <c r="B21" s="6" t="n">
        <v>2000</v>
      </c>
      <c r="C21" s="6" t="n">
        <v>10000</v>
      </c>
      <c r="D21" s="6" t="n">
        <v>30000</v>
      </c>
      <c r="E21" s="7" t="s">
        <v>48</v>
      </c>
      <c r="F21" s="8" t="s">
        <v>49</v>
      </c>
    </row>
    <row r="22" customFormat="false" ht="15" hidden="false" customHeight="false" outlineLevel="0" collapsed="false">
      <c r="A22" s="5" t="s">
        <v>50</v>
      </c>
      <c r="B22" s="10" t="n">
        <v>0.03</v>
      </c>
      <c r="C22" s="10" t="n">
        <v>0.03</v>
      </c>
      <c r="D22" s="10" t="n">
        <v>0.03</v>
      </c>
      <c r="E22" s="7" t="s">
        <v>51</v>
      </c>
      <c r="F22" s="8" t="s">
        <v>52</v>
      </c>
    </row>
    <row r="23" customFormat="false" ht="15" hidden="false" customHeight="false" outlineLevel="0" collapsed="false">
      <c r="A23" s="5" t="s">
        <v>53</v>
      </c>
      <c r="B23" s="9" t="n">
        <v>299</v>
      </c>
      <c r="C23" s="9" t="n">
        <v>299</v>
      </c>
      <c r="D23" s="9" t="n">
        <v>349</v>
      </c>
      <c r="E23" s="7" t="s">
        <v>32</v>
      </c>
      <c r="F23" s="8" t="s">
        <v>54</v>
      </c>
    </row>
    <row r="24" customFormat="false" ht="15" hidden="false" customHeight="false" outlineLevel="0" collapsed="false">
      <c r="A24" s="5" t="s">
        <v>55</v>
      </c>
      <c r="B24" s="9" t="n">
        <v>150</v>
      </c>
      <c r="C24" s="9" t="n">
        <v>120</v>
      </c>
      <c r="D24" s="9" t="n">
        <v>100</v>
      </c>
      <c r="E24" s="7" t="s">
        <v>32</v>
      </c>
      <c r="F24" s="8" t="s">
        <v>56</v>
      </c>
    </row>
    <row r="25" customFormat="false" ht="15" hidden="false" customHeight="false" outlineLevel="0" collapsed="false">
      <c r="A25" s="4" t="s">
        <v>57</v>
      </c>
      <c r="B25" s="4"/>
      <c r="C25" s="4"/>
      <c r="D25" s="4"/>
      <c r="E25" s="4"/>
      <c r="F25" s="4"/>
    </row>
    <row r="26" customFormat="false" ht="15" hidden="false" customHeight="false" outlineLevel="0" collapsed="false">
      <c r="A26" s="5" t="s">
        <v>58</v>
      </c>
      <c r="B26" s="9" t="n">
        <v>4</v>
      </c>
      <c r="C26" s="9" t="n">
        <v>3</v>
      </c>
      <c r="D26" s="9" t="n">
        <v>2.5</v>
      </c>
      <c r="E26" s="7" t="s">
        <v>59</v>
      </c>
      <c r="F26" s="8" t="s">
        <v>60</v>
      </c>
    </row>
    <row r="27" customFormat="false" ht="15" hidden="false" customHeight="false" outlineLevel="0" collapsed="false">
      <c r="A27" s="5" t="s">
        <v>61</v>
      </c>
      <c r="B27" s="6" t="n">
        <v>12</v>
      </c>
      <c r="C27" s="6" t="n">
        <v>12</v>
      </c>
      <c r="D27" s="6" t="n">
        <v>12</v>
      </c>
      <c r="E27" s="7" t="s">
        <v>62</v>
      </c>
      <c r="F27" s="8" t="s">
        <v>63</v>
      </c>
    </row>
    <row r="28" customFormat="false" ht="26.85" hidden="false" customHeight="false" outlineLevel="0" collapsed="false">
      <c r="A28" s="5" t="s">
        <v>64</v>
      </c>
      <c r="B28" s="9" t="n">
        <v>900000</v>
      </c>
      <c r="C28" s="9" t="n">
        <v>2400000</v>
      </c>
      <c r="D28" s="9" t="n">
        <v>4800000</v>
      </c>
      <c r="E28" s="7" t="s">
        <v>65</v>
      </c>
      <c r="F28" s="8" t="s">
        <v>66</v>
      </c>
    </row>
    <row r="29" customFormat="false" ht="26.85" hidden="false" customHeight="false" outlineLevel="0" collapsed="false">
      <c r="A29" s="5" t="s">
        <v>67</v>
      </c>
      <c r="B29" s="9" t="n">
        <v>120000</v>
      </c>
      <c r="C29" s="9" t="n">
        <v>200000</v>
      </c>
      <c r="D29" s="9" t="n">
        <v>300000</v>
      </c>
      <c r="E29" s="7" t="s">
        <v>65</v>
      </c>
      <c r="F29" s="8" t="s">
        <v>68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11" t="s">
        <v>70</v>
      </c>
    </row>
    <row r="4" customFormat="false" ht="15" hidden="false" customHeight="false" outlineLevel="0" collapsed="false">
      <c r="A4" s="3" t="s">
        <v>71</v>
      </c>
      <c r="B4" s="12" t="s">
        <v>3</v>
      </c>
      <c r="C4" s="12" t="s">
        <v>4</v>
      </c>
      <c r="D4" s="12" t="s">
        <v>5</v>
      </c>
    </row>
    <row r="5" customFormat="false" ht="15" hidden="false" customHeight="false" outlineLevel="0" collapsed="false">
      <c r="A5" s="4" t="s">
        <v>72</v>
      </c>
      <c r="B5" s="4"/>
      <c r="C5" s="4"/>
      <c r="D5" s="4"/>
    </row>
    <row r="6" customFormat="false" ht="15" hidden="false" customHeight="false" outlineLevel="0" collapsed="false">
      <c r="A6" s="5" t="s">
        <v>73</v>
      </c>
      <c r="B6" s="13" t="n">
        <f aca="false">Assumptions!B$6</f>
        <v>10</v>
      </c>
      <c r="C6" s="13" t="n">
        <f aca="false">Assumptions!C$6</f>
        <v>30</v>
      </c>
      <c r="D6" s="13" t="n">
        <f aca="false">Assumptions!D$6</f>
        <v>60</v>
      </c>
    </row>
    <row r="7" customFormat="false" ht="15" hidden="false" customHeight="false" outlineLevel="0" collapsed="false">
      <c r="A7" s="5" t="s">
        <v>74</v>
      </c>
      <c r="B7" s="14" t="n">
        <f aca="false">B6*Assumptions!B$8</f>
        <v>4</v>
      </c>
      <c r="C7" s="14" t="n">
        <f aca="false">C6*Assumptions!C$8</f>
        <v>12</v>
      </c>
      <c r="D7" s="14" t="n">
        <f aca="false">D6*Assumptions!D$8</f>
        <v>24</v>
      </c>
    </row>
    <row r="8" customFormat="false" ht="15" hidden="false" customHeight="false" outlineLevel="0" collapsed="false">
      <c r="A8" s="5" t="s">
        <v>75</v>
      </c>
      <c r="B8" s="15" t="n">
        <f aca="false">B7*Assumptions!B$7*12*Assumptions!B$9</f>
        <v>360000</v>
      </c>
      <c r="C8" s="15" t="n">
        <f aca="false">C7*Assumptions!C$7*12*Assumptions!C$9</f>
        <v>1080000</v>
      </c>
      <c r="D8" s="15" t="n">
        <f aca="false">D7*Assumptions!D$7*12*Assumptions!D$9</f>
        <v>2160000</v>
      </c>
    </row>
    <row r="9" customFormat="false" ht="15" hidden="false" customHeight="false" outlineLevel="0" collapsed="false">
      <c r="A9" s="5" t="s">
        <v>76</v>
      </c>
      <c r="B9" s="15" t="n">
        <f aca="false">B6*Assumptions!B$10*Assumptions!B$7*12*Assumptions!B$11</f>
        <v>180000</v>
      </c>
      <c r="C9" s="15" t="n">
        <f aca="false">C6*Assumptions!C$10*Assumptions!C$7*12*Assumptions!C$11</f>
        <v>540000</v>
      </c>
      <c r="D9" s="15" t="n">
        <f aca="false">D6*Assumptions!D$10*Assumptions!D$7*12*Assumptions!D$11</f>
        <v>1080000</v>
      </c>
    </row>
    <row r="10" customFormat="false" ht="15" hidden="false" customHeight="false" outlineLevel="0" collapsed="false">
      <c r="A10" s="16" t="s">
        <v>77</v>
      </c>
      <c r="B10" s="17" t="n">
        <f aca="false">(B8+B9)*Assumptions!B$12</f>
        <v>135000</v>
      </c>
      <c r="C10" s="17" t="n">
        <f aca="false">(C8+C9)*Assumptions!C$12</f>
        <v>405000</v>
      </c>
      <c r="D10" s="17" t="n">
        <f aca="false">(D8+D9)*Assumptions!D$12</f>
        <v>810000</v>
      </c>
    </row>
    <row r="11" customFormat="false" ht="15" hidden="false" customHeight="false" outlineLevel="0" collapsed="false">
      <c r="A11" s="5" t="s">
        <v>78</v>
      </c>
      <c r="B11" s="15" t="n">
        <f aca="false">B10*Assumptions!B$13</f>
        <v>81000</v>
      </c>
      <c r="C11" s="15" t="n">
        <f aca="false">C10*Assumptions!C$13+B10*(1-Assumptions!B$13)</f>
        <v>297000</v>
      </c>
      <c r="D11" s="15" t="n">
        <f aca="false">D10*Assumptions!D$13+C10*(1-Assumptions!C$13)</f>
        <v>648000</v>
      </c>
    </row>
    <row r="12" customFormat="false" ht="15" hidden="false" customHeight="false" outlineLevel="0" collapsed="false">
      <c r="A12" s="4" t="s">
        <v>79</v>
      </c>
      <c r="B12" s="4"/>
      <c r="C12" s="4"/>
      <c r="D12" s="4"/>
    </row>
    <row r="13" customFormat="false" ht="15" hidden="false" customHeight="false" outlineLevel="0" collapsed="false">
      <c r="A13" s="5" t="s">
        <v>80</v>
      </c>
      <c r="B13" s="14" t="n">
        <f aca="false">Assumptions!B$16/2</f>
        <v>250</v>
      </c>
      <c r="C13" s="14" t="n">
        <f aca="false">(Assumptions!B$16+Assumptions!C$16)/2</f>
        <v>1500</v>
      </c>
      <c r="D13" s="14" t="n">
        <f aca="false">(Assumptions!C$16+Assumptions!D$16)/2</f>
        <v>5000</v>
      </c>
    </row>
    <row r="14" customFormat="false" ht="15" hidden="false" customHeight="false" outlineLevel="0" collapsed="false">
      <c r="A14" s="16" t="s">
        <v>81</v>
      </c>
      <c r="B14" s="17" t="n">
        <f aca="false">B13*Assumptions!B$17*12</f>
        <v>150000</v>
      </c>
      <c r="C14" s="17" t="n">
        <f aca="false">C13*Assumptions!C$17*12</f>
        <v>900000</v>
      </c>
      <c r="D14" s="17" t="n">
        <f aca="false">D13*Assumptions!D$17*12</f>
        <v>3300000</v>
      </c>
    </row>
    <row r="15" customFormat="false" ht="15" hidden="false" customHeight="false" outlineLevel="0" collapsed="false">
      <c r="A15" s="4" t="s">
        <v>82</v>
      </c>
      <c r="B15" s="4"/>
      <c r="C15" s="4"/>
      <c r="D15" s="4"/>
    </row>
    <row r="16" customFormat="false" ht="15" hidden="false" customHeight="false" outlineLevel="0" collapsed="false">
      <c r="A16" s="5" t="s">
        <v>83</v>
      </c>
      <c r="B16" s="14" t="n">
        <f aca="false">Assumptions!B$21*Assumptions!B$22</f>
        <v>60</v>
      </c>
      <c r="C16" s="14" t="n">
        <f aca="false">Assumptions!C$21*Assumptions!C$22</f>
        <v>300</v>
      </c>
      <c r="D16" s="14" t="n">
        <f aca="false">Assumptions!D$21*Assumptions!D$22</f>
        <v>900</v>
      </c>
    </row>
    <row r="17" customFormat="false" ht="15" hidden="false" customHeight="false" outlineLevel="0" collapsed="false">
      <c r="A17" s="16" t="s">
        <v>84</v>
      </c>
      <c r="B17" s="17" t="n">
        <f aca="false">B16*Assumptions!B$23</f>
        <v>17940</v>
      </c>
      <c r="C17" s="17" t="n">
        <f aca="false">C16*Assumptions!C$23</f>
        <v>89700</v>
      </c>
      <c r="D17" s="17" t="n">
        <f aca="false">D16*Assumptions!D$23</f>
        <v>314100</v>
      </c>
    </row>
    <row r="18" customFormat="false" ht="15" hidden="false" customHeight="false" outlineLevel="0" collapsed="false">
      <c r="A18" s="4" t="s">
        <v>85</v>
      </c>
      <c r="B18" s="4"/>
      <c r="C18" s="4"/>
      <c r="D18" s="4"/>
    </row>
    <row r="19" customFormat="false" ht="15" hidden="false" customHeight="false" outlineLevel="0" collapsed="false">
      <c r="A19" s="18" t="s">
        <v>86</v>
      </c>
      <c r="B19" s="19" t="n">
        <f aca="false">B11+B14+B17</f>
        <v>248940</v>
      </c>
      <c r="C19" s="19" t="n">
        <f aca="false">C11+C14+C17</f>
        <v>1286700</v>
      </c>
      <c r="D19" s="19" t="n">
        <f aca="false">D11+D14+D17</f>
        <v>4262100</v>
      </c>
    </row>
    <row r="20" customFormat="false" ht="15" hidden="false" customHeight="false" outlineLevel="0" collapsed="false">
      <c r="A20" s="5" t="s">
        <v>87</v>
      </c>
      <c r="B20" s="14" t="n">
        <f aca="false">(B6+B13+Assumptions!B$21)*Assumptions!B$27</f>
        <v>27120</v>
      </c>
      <c r="C20" s="14" t="n">
        <f aca="false">(C6+C13+Assumptions!C$21)*Assumptions!C$27</f>
        <v>138360</v>
      </c>
      <c r="D20" s="14" t="n">
        <f aca="false">(D6+D13+Assumptions!D$21)*Assumptions!D$27</f>
        <v>420720</v>
      </c>
    </row>
    <row r="21" customFormat="false" ht="15" hidden="false" customHeight="false" outlineLevel="0" collapsed="false">
      <c r="A21" s="5" t="s">
        <v>88</v>
      </c>
      <c r="B21" s="15" t="n">
        <f aca="false">B20*Assumptions!B$26</f>
        <v>108480</v>
      </c>
      <c r="C21" s="15" t="n">
        <f aca="false">C20*Assumptions!C$26</f>
        <v>415080</v>
      </c>
      <c r="D21" s="15" t="n">
        <f aca="false">D20*Assumptions!D$26</f>
        <v>1051800</v>
      </c>
    </row>
    <row r="22" customFormat="false" ht="15" hidden="false" customHeight="false" outlineLevel="0" collapsed="false">
      <c r="A22" s="5" t="s">
        <v>89</v>
      </c>
      <c r="B22" s="15" t="n">
        <f aca="false">B7*Assumptions!B$14+B13*Assumptions!B$18*Assumptions!B$19+B16*Assumptions!B$24</f>
        <v>31000</v>
      </c>
      <c r="C22" s="15" t="n">
        <f aca="false">C7*Assumptions!C$14+C13*Assumptions!C$18*Assumptions!C$19+C16*Assumptions!C$24</f>
        <v>124500</v>
      </c>
      <c r="D22" s="15" t="n">
        <f aca="false">D7*Assumptions!D$14+D13*Assumptions!D$18*Assumptions!D$19+D16*Assumptions!D$24</f>
        <v>312000</v>
      </c>
    </row>
    <row r="23" customFormat="false" ht="15" hidden="false" customHeight="false" outlineLevel="0" collapsed="false">
      <c r="A23" s="16" t="s">
        <v>90</v>
      </c>
      <c r="B23" s="17" t="n">
        <f aca="false">B19-B21-B22</f>
        <v>109460</v>
      </c>
      <c r="C23" s="17" t="n">
        <f aca="false">C19-C21-C22</f>
        <v>747120</v>
      </c>
      <c r="D23" s="17" t="n">
        <f aca="false">D19-D21-D22</f>
        <v>2898300</v>
      </c>
    </row>
    <row r="24" customFormat="false" ht="15" hidden="false" customHeight="false" outlineLevel="0" collapsed="false">
      <c r="A24" s="5" t="s">
        <v>91</v>
      </c>
      <c r="B24" s="20" t="n">
        <f aca="false">IF(B19=0,0,B23/B19)</f>
        <v>0.439704346428858</v>
      </c>
      <c r="C24" s="20" t="n">
        <f aca="false">IF(C19=0,0,C23/C19)</f>
        <v>0.580648169736535</v>
      </c>
      <c r="D24" s="20" t="n">
        <f aca="false">IF(D19=0,0,D23/D19)</f>
        <v>0.680016893080876</v>
      </c>
    </row>
    <row r="25" customFormat="false" ht="15" hidden="false" customHeight="false" outlineLevel="0" collapsed="false">
      <c r="A25" s="5" t="s">
        <v>64</v>
      </c>
      <c r="B25" s="21" t="n">
        <f aca="false">Assumptions!B$28</f>
        <v>900000</v>
      </c>
      <c r="C25" s="21" t="n">
        <f aca="false">Assumptions!C$28</f>
        <v>2400000</v>
      </c>
      <c r="D25" s="21" t="n">
        <f aca="false">Assumptions!D$28</f>
        <v>4800000</v>
      </c>
    </row>
    <row r="26" customFormat="false" ht="15" hidden="false" customHeight="false" outlineLevel="0" collapsed="false">
      <c r="A26" s="16" t="s">
        <v>92</v>
      </c>
      <c r="B26" s="17" t="n">
        <f aca="false">B23-B25</f>
        <v>-790540</v>
      </c>
      <c r="C26" s="17" t="n">
        <f aca="false">C23-C25</f>
        <v>-1652880</v>
      </c>
      <c r="D26" s="17" t="n">
        <f aca="false">D23-D25</f>
        <v>-1901700</v>
      </c>
    </row>
    <row r="27" customFormat="false" ht="15" hidden="false" customHeight="false" outlineLevel="0" collapsed="false">
      <c r="A27" s="18" t="s">
        <v>93</v>
      </c>
      <c r="B27" s="19" t="n">
        <f aca="false">B26</f>
        <v>-790540</v>
      </c>
      <c r="C27" s="19" t="n">
        <f aca="false">B27+C26</f>
        <v>-2443420</v>
      </c>
      <c r="D27" s="19" t="n">
        <f aca="false">C27+D26</f>
        <v>-4345120</v>
      </c>
    </row>
    <row r="28" customFormat="false" ht="15" hidden="false" customHeight="false" outlineLevel="0" collapsed="false">
      <c r="A28" s="4" t="s">
        <v>94</v>
      </c>
      <c r="B28" s="4"/>
      <c r="C28" s="4"/>
      <c r="D28" s="4"/>
    </row>
    <row r="29" customFormat="false" ht="15" hidden="false" customHeight="false" outlineLevel="0" collapsed="false">
      <c r="A29" s="5" t="s">
        <v>95</v>
      </c>
      <c r="B29" s="20" t="n">
        <f aca="false">IF(B19=0,0,B11/B19)</f>
        <v>0.325379609544469</v>
      </c>
      <c r="C29" s="20" t="n">
        <f aca="false">IF(C19=0,0,C11/C19)</f>
        <v>0.230823035672651</v>
      </c>
      <c r="D29" s="20" t="n">
        <f aca="false">IF(D19=0,0,D11/D19)</f>
        <v>0.152037727880622</v>
      </c>
    </row>
    <row r="30" customFormat="false" ht="15" hidden="false" customHeight="false" outlineLevel="0" collapsed="false">
      <c r="A30" s="5" t="s">
        <v>96</v>
      </c>
      <c r="B30" s="20" t="n">
        <f aca="false">IF(B19=0,0,B14/B19)</f>
        <v>0.602554832489757</v>
      </c>
      <c r="C30" s="20" t="n">
        <f aca="false">IF(C19=0,0,C14/C19)</f>
        <v>0.699463744462579</v>
      </c>
      <c r="D30" s="20" t="n">
        <f aca="false">IF(D19=0,0,D14/D19)</f>
        <v>0.774266206799465</v>
      </c>
    </row>
    <row r="31" customFormat="false" ht="15" hidden="false" customHeight="false" outlineLevel="0" collapsed="false">
      <c r="A31" s="5" t="s">
        <v>97</v>
      </c>
      <c r="B31" s="20" t="n">
        <f aca="false">IF(B19=0,0,B17/B19)</f>
        <v>0.0720655579657749</v>
      </c>
      <c r="C31" s="20" t="n">
        <f aca="false">IF(C19=0,0,C17/C19)</f>
        <v>0.0697132198647704</v>
      </c>
      <c r="D31" s="20" t="n">
        <f aca="false">IF(D19=0,0,D17/D19)</f>
        <v>0.0736960653199127</v>
      </c>
    </row>
    <row r="33" customFormat="false" ht="15" hidden="false" customHeight="false" outlineLevel="0" collapsed="false">
      <c r="A33" s="4" t="s">
        <v>98</v>
      </c>
      <c r="B33" s="4"/>
      <c r="C33" s="4"/>
      <c r="D33" s="4"/>
    </row>
    <row r="34" customFormat="false" ht="15" hidden="false" customHeight="false" outlineLevel="0" collapsed="false">
      <c r="A34" s="5" t="s">
        <v>99</v>
      </c>
      <c r="B34" s="15" t="n">
        <f aca="false">Assumptions!B$7*12*Assumptions!B$9</f>
        <v>90000</v>
      </c>
      <c r="C34" s="15" t="n">
        <f aca="false">Assumptions!C$7*12*Assumptions!C$9</f>
        <v>90000</v>
      </c>
      <c r="D34" s="15" t="n">
        <f aca="false">Assumptions!D$7*12*Assumptions!D$9</f>
        <v>90000</v>
      </c>
    </row>
    <row r="35" customFormat="false" ht="15" hidden="false" customHeight="false" outlineLevel="0" collapsed="false">
      <c r="A35" s="18" t="s">
        <v>100</v>
      </c>
      <c r="B35" s="19" t="n">
        <f aca="false">B34*Assumptions!B$12</f>
        <v>22500</v>
      </c>
      <c r="C35" s="19" t="n">
        <f aca="false">C34*Assumptions!C$12</f>
        <v>22500</v>
      </c>
      <c r="D35" s="19" t="n">
        <f aca="false">D34*Assumptions!D$12</f>
        <v>22500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2026-10-09T05:21:46Z</dcterms:created>
  <dc:creator>openpyxl</dc:creator>
  <dc:description/>
  <dc:language>en-US</dc:language>
  <cp:lastModifiedBy/>
  <dcterms:modified xsi:type="dcterms:W3CDTF">2026-10-09T05:21:46Z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